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B30410F-F142-6C75-8FE4-BCCB68B04300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업무\집필\2014\엑셀 2016 매크로 &amp; VBA 바이블 (한빛)\예제\Part 07\"/>
    </mc:Choice>
  </mc:AlternateContent>
  <bookViews>
    <workbookView xWindow="480" yWindow="150" windowWidth="15600" windowHeight="8355"/>
  </bookViews>
  <sheets>
    <sheet name="sample" sheetId="1" r:id="rId1"/>
  </sheets>
  <calcPr calcId="162913"/>
</workbook>
</file>

<file path=xl/calcChain.xml><?xml version="1.0" encoding="utf-8"?>
<calcChain xmlns="http://schemas.openxmlformats.org/spreadsheetml/2006/main">
  <c r="L5" i="1" l="1"/>
  <c r="L6" i="1"/>
  <c r="N6" i="1" s="1"/>
  <c r="L7" i="1"/>
  <c r="N7" i="1" s="1"/>
  <c r="L8" i="1"/>
  <c r="N8" i="1" s="1"/>
  <c r="L9" i="1"/>
  <c r="N9" i="1" s="1"/>
  <c r="L12" i="1" l="1"/>
  <c r="N5" i="1"/>
  <c r="N12" i="1" s="1"/>
  <c r="F2" i="1" l="1"/>
</calcChain>
</file>

<file path=xl/sharedStrings.xml><?xml version="1.0" encoding="utf-8"?>
<sst xmlns="http://schemas.openxmlformats.org/spreadsheetml/2006/main" count="15" uniqueCount="15">
  <si>
    <t>트로피컬 칵테일</t>
  </si>
  <si>
    <t>현진 바닐라 엣센스</t>
  </si>
  <si>
    <t>보스톤산 게살 통조림</t>
  </si>
  <si>
    <t>대일 포장 치즈</t>
  </si>
  <si>
    <t>미왕 초콜릿 드링크</t>
  </si>
  <si>
    <t>번호</t>
    <phoneticPr fontId="4" type="noConversion"/>
  </si>
  <si>
    <t>품명</t>
    <phoneticPr fontId="4" type="noConversion"/>
  </si>
  <si>
    <t>수량</t>
    <phoneticPr fontId="4" type="noConversion"/>
  </si>
  <si>
    <t>단가</t>
    <phoneticPr fontId="4" type="noConversion"/>
  </si>
  <si>
    <t>할인</t>
    <phoneticPr fontId="2" type="noConversion"/>
  </si>
  <si>
    <t>공급가액</t>
    <phoneticPr fontId="4" type="noConversion"/>
  </si>
  <si>
    <t>세액</t>
    <phoneticPr fontId="4" type="noConversion"/>
  </si>
  <si>
    <t>(공급가액 + 세액)</t>
    <phoneticPr fontId="4" type="noConversion"/>
  </si>
  <si>
    <t>계</t>
    <phoneticPr fontId="4" type="noConversion"/>
  </si>
  <si>
    <t>총    액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</si>
</sst>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(* #,##0_);_(* \(#,##0\);_(* &quot;-&quot;_);_(@_)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9"/>
      <name val="맑은 고딕"/>
      <family val="3"/>
      <charset val="129"/>
    </font>
    <font>
      <b/>
      <sz val="12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2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5" fillId="0" borderId="18" xfId="0" applyNumberFormat="1" applyFont="1" applyFill="1" applyBorder="1" applyAlignment="1">
      <alignment horizontal="center" vertical="center"/>
    </xf>
    <xf numFmtId="0" fontId="5" fillId="0" borderId="19" xfId="0" applyNumberFormat="1" applyFont="1" applyFill="1" applyBorder="1" applyAlignment="1">
      <alignment horizontal="right" vertical="center"/>
    </xf>
    <xf numFmtId="9" fontId="5" fillId="0" borderId="19" xfId="1" applyNumberFormat="1" applyFont="1" applyFill="1" applyBorder="1" applyAlignment="1">
      <alignment horizontal="right" vertical="center"/>
    </xf>
    <xf numFmtId="0" fontId="5" fillId="0" borderId="21" xfId="0" applyNumberFormat="1" applyFont="1" applyFill="1" applyBorder="1" applyAlignment="1">
      <alignment horizontal="center" vertical="center"/>
    </xf>
    <xf numFmtId="0" fontId="5" fillId="0" borderId="22" xfId="0" applyNumberFormat="1" applyFont="1" applyFill="1" applyBorder="1" applyAlignment="1">
      <alignment horizontal="right" vertical="center"/>
    </xf>
    <xf numFmtId="0" fontId="5" fillId="0" borderId="22" xfId="1" applyNumberFormat="1" applyFont="1" applyFill="1" applyBorder="1" applyAlignment="1">
      <alignment horizontal="right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4" borderId="18" xfId="0" applyNumberFormat="1" applyFont="1" applyFill="1" applyBorder="1" applyAlignment="1">
      <alignment horizontal="center" vertical="center"/>
    </xf>
    <xf numFmtId="0" fontId="5" fillId="4" borderId="19" xfId="0" applyNumberFormat="1" applyFont="1" applyFill="1" applyBorder="1" applyAlignment="1">
      <alignment horizontal="right" vertical="center"/>
    </xf>
    <xf numFmtId="9" fontId="5" fillId="4" borderId="19" xfId="1" applyNumberFormat="1" applyFont="1" applyFill="1" applyBorder="1" applyAlignment="1">
      <alignment horizontal="right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3" fillId="2" borderId="6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0" fontId="3" fillId="2" borderId="13" xfId="0" applyNumberFormat="1" applyFont="1" applyFill="1" applyBorder="1" applyAlignment="1">
      <alignment horizontal="center" vertical="center"/>
    </xf>
    <xf numFmtId="0" fontId="3" fillId="2" borderId="11" xfId="0" applyNumberFormat="1" applyFont="1" applyFill="1" applyBorder="1" applyAlignment="1">
      <alignment horizontal="center" vertical="center"/>
    </xf>
    <xf numFmtId="0" fontId="3" fillId="2" borderId="14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0" borderId="19" xfId="0" applyNumberFormat="1" applyFont="1" applyFill="1" applyBorder="1" applyAlignment="1">
      <alignment horizontal="center" vertical="center"/>
    </xf>
    <xf numFmtId="3" fontId="5" fillId="0" borderId="19" xfId="1" applyNumberFormat="1" applyFont="1" applyFill="1" applyBorder="1" applyAlignment="1">
      <alignment horizontal="right" vertical="center"/>
    </xf>
    <xf numFmtId="0" fontId="5" fillId="0" borderId="19" xfId="1" applyNumberFormat="1" applyFont="1" applyFill="1" applyBorder="1" applyAlignment="1">
      <alignment horizontal="right" vertical="center"/>
    </xf>
    <xf numFmtId="41" fontId="5" fillId="0" borderId="19" xfId="1" applyFont="1" applyFill="1" applyBorder="1" applyAlignment="1">
      <alignment horizontal="right" vertical="center"/>
    </xf>
    <xf numFmtId="41" fontId="5" fillId="0" borderId="20" xfId="1" applyFont="1" applyFill="1" applyBorder="1" applyAlignment="1">
      <alignment horizontal="right" vertical="center"/>
    </xf>
    <xf numFmtId="0" fontId="5" fillId="0" borderId="22" xfId="1" applyNumberFormat="1" applyFont="1" applyFill="1" applyBorder="1" applyAlignment="1">
      <alignment horizontal="right" vertical="center"/>
    </xf>
    <xf numFmtId="0" fontId="5" fillId="0" borderId="23" xfId="1" applyNumberFormat="1" applyFont="1" applyFill="1" applyBorder="1" applyAlignment="1">
      <alignment horizontal="right" vertical="center"/>
    </xf>
    <xf numFmtId="41" fontId="9" fillId="2" borderId="4" xfId="0" applyNumberFormat="1" applyFont="1" applyFill="1" applyBorder="1" applyAlignment="1">
      <alignment horizontal="center" vertical="center"/>
    </xf>
    <xf numFmtId="41" fontId="9" fillId="2" borderId="2" xfId="0" applyNumberFormat="1" applyFont="1" applyFill="1" applyBorder="1" applyAlignment="1">
      <alignment horizontal="center" vertical="center"/>
    </xf>
    <xf numFmtId="41" fontId="9" fillId="2" borderId="5" xfId="0" applyNumberFormat="1" applyFont="1" applyFill="1" applyBorder="1" applyAlignment="1">
      <alignment horizontal="center" vertical="center"/>
    </xf>
    <xf numFmtId="41" fontId="9" fillId="2" borderId="10" xfId="0" applyNumberFormat="1" applyFont="1" applyFill="1" applyBorder="1" applyAlignment="1">
      <alignment horizontal="center" vertical="center"/>
    </xf>
    <xf numFmtId="41" fontId="9" fillId="2" borderId="11" xfId="0" applyNumberFormat="1" applyFont="1" applyFill="1" applyBorder="1" applyAlignment="1">
      <alignment horizontal="center" vertical="center"/>
    </xf>
    <xf numFmtId="41" fontId="9" fillId="2" borderId="12" xfId="0" applyNumberFormat="1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/>
    </xf>
    <xf numFmtId="41" fontId="5" fillId="2" borderId="24" xfId="1" applyFont="1" applyFill="1" applyBorder="1" applyAlignment="1">
      <alignment horizontal="center" vertical="center"/>
    </xf>
    <xf numFmtId="41" fontId="5" fillId="2" borderId="25" xfId="1" applyFont="1" applyFill="1" applyBorder="1" applyAlignment="1">
      <alignment horizontal="center" vertical="center"/>
    </xf>
    <xf numFmtId="0" fontId="5" fillId="4" borderId="19" xfId="0" applyNumberFormat="1" applyFont="1" applyFill="1" applyBorder="1" applyAlignment="1">
      <alignment horizontal="center" vertical="center"/>
    </xf>
    <xf numFmtId="3" fontId="5" fillId="4" borderId="19" xfId="1" applyNumberFormat="1" applyFont="1" applyFill="1" applyBorder="1" applyAlignment="1">
      <alignment horizontal="right" vertical="center"/>
    </xf>
    <xf numFmtId="0" fontId="5" fillId="4" borderId="19" xfId="1" applyNumberFormat="1" applyFont="1" applyFill="1" applyBorder="1" applyAlignment="1">
      <alignment horizontal="right" vertical="center"/>
    </xf>
    <xf numFmtId="41" fontId="5" fillId="4" borderId="19" xfId="1" applyFont="1" applyFill="1" applyBorder="1" applyAlignment="1">
      <alignment horizontal="right" vertical="center"/>
    </xf>
    <xf numFmtId="41" fontId="5" fillId="4" borderId="20" xfId="1" applyFont="1" applyFill="1" applyBorder="1" applyAlignment="1">
      <alignment horizontal="right" vertical="center"/>
    </xf>
    <xf numFmtId="0" fontId="5" fillId="0" borderId="22" xfId="0" applyNumberFormat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600만원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12"/>
  <sheetViews>
    <sheetView tabSelected="1" workbookViewId="0">
      <selection activeCell="H9" sqref="H9"/>
    </sheetView>
  </sheetViews>
  <sheetFormatPr defaultRowHeight="20.100000000000001" customHeight="1" x14ac:dyDescent="0.3"/>
  <cols>
    <col min="1" max="16" width="5" customWidth="1"/>
  </cols>
  <sheetData>
    <row r="1" spans="2:15" ht="20.100000000000001" customHeight="1" thickBot="1" x14ac:dyDescent="0.35"/>
    <row r="2" spans="2:15" ht="20.100000000000001" customHeight="1" x14ac:dyDescent="0.3">
      <c r="B2" s="12" t="s">
        <v>14</v>
      </c>
      <c r="C2" s="13"/>
      <c r="D2" s="13"/>
      <c r="E2" s="14"/>
      <c r="F2" s="33">
        <f>L12+N12</f>
        <v>5533000</v>
      </c>
      <c r="G2" s="34"/>
      <c r="H2" s="34"/>
      <c r="I2" s="34"/>
      <c r="J2" s="34"/>
      <c r="K2" s="35"/>
      <c r="L2" s="15"/>
      <c r="M2" s="16"/>
      <c r="N2" s="16"/>
      <c r="O2" s="17"/>
    </row>
    <row r="3" spans="2:15" ht="20.100000000000001" customHeight="1" thickBot="1" x14ac:dyDescent="0.35">
      <c r="B3" s="21" t="s">
        <v>12</v>
      </c>
      <c r="C3" s="22"/>
      <c r="D3" s="22"/>
      <c r="E3" s="23"/>
      <c r="F3" s="36"/>
      <c r="G3" s="37"/>
      <c r="H3" s="37"/>
      <c r="I3" s="37"/>
      <c r="J3" s="37"/>
      <c r="K3" s="38"/>
      <c r="L3" s="18"/>
      <c r="M3" s="19"/>
      <c r="N3" s="19"/>
      <c r="O3" s="20"/>
    </row>
    <row r="4" spans="2:15" ht="20.100000000000001" customHeight="1" x14ac:dyDescent="0.3">
      <c r="B4" s="7" t="s">
        <v>5</v>
      </c>
      <c r="C4" s="24" t="s">
        <v>6</v>
      </c>
      <c r="D4" s="24"/>
      <c r="E4" s="24"/>
      <c r="F4" s="24"/>
      <c r="G4" s="24"/>
      <c r="H4" s="8" t="s">
        <v>7</v>
      </c>
      <c r="I4" s="24" t="s">
        <v>8</v>
      </c>
      <c r="J4" s="24"/>
      <c r="K4" s="8" t="s">
        <v>9</v>
      </c>
      <c r="L4" s="24" t="s">
        <v>10</v>
      </c>
      <c r="M4" s="24"/>
      <c r="N4" s="24" t="s">
        <v>11</v>
      </c>
      <c r="O4" s="25"/>
    </row>
    <row r="5" spans="2:15" ht="20.100000000000001" customHeight="1" x14ac:dyDescent="0.3">
      <c r="B5" s="1">
        <v>1</v>
      </c>
      <c r="C5" s="26" t="s">
        <v>0</v>
      </c>
      <c r="D5" s="26"/>
      <c r="E5" s="26"/>
      <c r="F5" s="26"/>
      <c r="G5" s="26"/>
      <c r="H5" s="2">
        <v>20</v>
      </c>
      <c r="I5" s="27">
        <v>15000</v>
      </c>
      <c r="J5" s="28"/>
      <c r="K5" s="3">
        <v>0</v>
      </c>
      <c r="L5" s="27">
        <f>H5*I5*(1-K5)</f>
        <v>300000</v>
      </c>
      <c r="M5" s="28"/>
      <c r="N5" s="29">
        <f>L5*0.1</f>
        <v>30000</v>
      </c>
      <c r="O5" s="30"/>
    </row>
    <row r="6" spans="2:15" ht="20.100000000000001" customHeight="1" x14ac:dyDescent="0.3">
      <c r="B6" s="1">
        <v>2</v>
      </c>
      <c r="C6" s="26" t="s">
        <v>1</v>
      </c>
      <c r="D6" s="26"/>
      <c r="E6" s="26"/>
      <c r="F6" s="26"/>
      <c r="G6" s="26"/>
      <c r="H6" s="2">
        <v>12</v>
      </c>
      <c r="I6" s="27">
        <v>28000</v>
      </c>
      <c r="J6" s="28"/>
      <c r="K6" s="3">
        <v>0</v>
      </c>
      <c r="L6" s="27">
        <f t="shared" ref="L6:L9" si="0">H6*I6*(1-K6)</f>
        <v>336000</v>
      </c>
      <c r="M6" s="28"/>
      <c r="N6" s="29">
        <f>L6*0.1</f>
        <v>33600</v>
      </c>
      <c r="O6" s="30"/>
    </row>
    <row r="7" spans="2:15" ht="20.100000000000001" customHeight="1" x14ac:dyDescent="0.3">
      <c r="B7" s="1">
        <v>3</v>
      </c>
      <c r="C7" s="26" t="s">
        <v>2</v>
      </c>
      <c r="D7" s="26"/>
      <c r="E7" s="26"/>
      <c r="F7" s="26"/>
      <c r="G7" s="26"/>
      <c r="H7" s="2">
        <v>50</v>
      </c>
      <c r="I7" s="27">
        <v>15000</v>
      </c>
      <c r="J7" s="28"/>
      <c r="K7" s="3">
        <v>0</v>
      </c>
      <c r="L7" s="27">
        <f t="shared" si="0"/>
        <v>750000</v>
      </c>
      <c r="M7" s="28"/>
      <c r="N7" s="29">
        <f>L7*0.1</f>
        <v>75000</v>
      </c>
      <c r="O7" s="30"/>
    </row>
    <row r="8" spans="2:15" ht="20.100000000000001" customHeight="1" x14ac:dyDescent="0.3">
      <c r="B8" s="1">
        <v>4</v>
      </c>
      <c r="C8" s="26" t="s">
        <v>3</v>
      </c>
      <c r="D8" s="26"/>
      <c r="E8" s="26"/>
      <c r="F8" s="26"/>
      <c r="G8" s="26"/>
      <c r="H8" s="2">
        <v>70</v>
      </c>
      <c r="I8" s="27">
        <v>45200</v>
      </c>
      <c r="J8" s="28"/>
      <c r="K8" s="3">
        <v>0</v>
      </c>
      <c r="L8" s="27">
        <f t="shared" si="0"/>
        <v>3164000</v>
      </c>
      <c r="M8" s="28"/>
      <c r="N8" s="29">
        <f>L8*0.1</f>
        <v>316400</v>
      </c>
      <c r="O8" s="30"/>
    </row>
    <row r="9" spans="2:15" ht="20.100000000000001" customHeight="1" x14ac:dyDescent="0.3">
      <c r="B9" s="9">
        <v>5</v>
      </c>
      <c r="C9" s="44" t="s">
        <v>4</v>
      </c>
      <c r="D9" s="44"/>
      <c r="E9" s="44"/>
      <c r="F9" s="44"/>
      <c r="G9" s="44"/>
      <c r="H9" s="10">
        <v>15</v>
      </c>
      <c r="I9" s="45">
        <v>32000</v>
      </c>
      <c r="J9" s="46"/>
      <c r="K9" s="11">
        <v>0</v>
      </c>
      <c r="L9" s="45">
        <f t="shared" si="0"/>
        <v>480000</v>
      </c>
      <c r="M9" s="46"/>
      <c r="N9" s="47">
        <f>L9*0.1</f>
        <v>48000</v>
      </c>
      <c r="O9" s="48"/>
    </row>
    <row r="10" spans="2:15" ht="20.100000000000001" customHeight="1" x14ac:dyDescent="0.3">
      <c r="B10" s="1"/>
      <c r="C10" s="26"/>
      <c r="D10" s="26"/>
      <c r="E10" s="26"/>
      <c r="F10" s="26"/>
      <c r="G10" s="26"/>
      <c r="H10" s="2"/>
      <c r="I10" s="27"/>
      <c r="J10" s="28"/>
      <c r="K10" s="3"/>
      <c r="L10" s="27"/>
      <c r="M10" s="28"/>
      <c r="N10" s="29"/>
      <c r="O10" s="30"/>
    </row>
    <row r="11" spans="2:15" ht="20.100000000000001" customHeight="1" thickBot="1" x14ac:dyDescent="0.35">
      <c r="B11" s="4"/>
      <c r="C11" s="49"/>
      <c r="D11" s="49"/>
      <c r="E11" s="49"/>
      <c r="F11" s="49"/>
      <c r="G11" s="49"/>
      <c r="H11" s="5"/>
      <c r="I11" s="31"/>
      <c r="J11" s="31"/>
      <c r="K11" s="6"/>
      <c r="L11" s="31"/>
      <c r="M11" s="31"/>
      <c r="N11" s="31"/>
      <c r="O11" s="32"/>
    </row>
    <row r="12" spans="2:15" ht="20.100000000000001" customHeight="1" thickTop="1" thickBot="1" x14ac:dyDescent="0.35">
      <c r="B12" s="39" t="s">
        <v>13</v>
      </c>
      <c r="C12" s="40"/>
      <c r="D12" s="40"/>
      <c r="E12" s="40"/>
      <c r="F12" s="40"/>
      <c r="G12" s="40"/>
      <c r="H12" s="40"/>
      <c r="I12" s="40"/>
      <c r="J12" s="40"/>
      <c r="K12" s="41"/>
      <c r="L12" s="42">
        <f>SUM(L5:M10)</f>
        <v>5030000</v>
      </c>
      <c r="M12" s="42"/>
      <c r="N12" s="42">
        <f>SUM(N5:O10)</f>
        <v>503000</v>
      </c>
      <c r="O12" s="43"/>
    </row>
  </sheetData>
  <dataConsolidate/>
  <mergeCells count="39">
    <mergeCell ref="L11:M11"/>
    <mergeCell ref="N11:O11"/>
    <mergeCell ref="F2:K3"/>
    <mergeCell ref="B12:K12"/>
    <mergeCell ref="L12:M12"/>
    <mergeCell ref="N12:O12"/>
    <mergeCell ref="C9:G9"/>
    <mergeCell ref="I9:J9"/>
    <mergeCell ref="L9:M9"/>
    <mergeCell ref="N9:O9"/>
    <mergeCell ref="C10:G10"/>
    <mergeCell ref="I10:J10"/>
    <mergeCell ref="L10:M10"/>
    <mergeCell ref="N10:O10"/>
    <mergeCell ref="C11:G11"/>
    <mergeCell ref="I11:J11"/>
    <mergeCell ref="C7:G7"/>
    <mergeCell ref="I7:J7"/>
    <mergeCell ref="L7:M7"/>
    <mergeCell ref="N7:O7"/>
    <mergeCell ref="C8:G8"/>
    <mergeCell ref="I8:J8"/>
    <mergeCell ref="L8:M8"/>
    <mergeCell ref="N8:O8"/>
    <mergeCell ref="C5:G5"/>
    <mergeCell ref="I5:J5"/>
    <mergeCell ref="L5:M5"/>
    <mergeCell ref="N5:O5"/>
    <mergeCell ref="C6:G6"/>
    <mergeCell ref="I6:J6"/>
    <mergeCell ref="L6:M6"/>
    <mergeCell ref="N6:O6"/>
    <mergeCell ref="B2:E2"/>
    <mergeCell ref="L2:O3"/>
    <mergeCell ref="B3:E3"/>
    <mergeCell ref="C4:G4"/>
    <mergeCell ref="I4:J4"/>
    <mergeCell ref="L4:M4"/>
    <mergeCell ref="N4:O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추가구입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한빛미디어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Do... Loop 문</dc:title>
  <dc:subject>엑셀 2016 매크로&amp;VBA 바이블</dc:subject>
  <dc:creator>최준선</dc:creator>
  <cp:keywords>엑셀..하루에 하나씩</cp:keywords>
  <dc:description/>
  <cp:lastModifiedBy>최준선</cp:lastModifiedBy>
  <dcterms:created xsi:type="dcterms:W3CDTF">2016-02-05T09:25:02Z</dcterms:created>
  <dcterms:modified xsi:type="dcterms:W3CDTF">2016-02-05T09:25:03Z</dcterms:modified>
</cp:coreProperties>
</file>